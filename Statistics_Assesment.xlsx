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c2dc609cceff90/Darshil/Statistics/"/>
    </mc:Choice>
  </mc:AlternateContent>
  <xr:revisionPtr revIDLastSave="330" documentId="8_{B8F0237F-24C8-466D-984F-E2A0281DE4A6}" xr6:coauthVersionLast="47" xr6:coauthVersionMax="47" xr10:uidLastSave="{AE0C7EA7-108F-4345-A789-2FA583AEFD22}"/>
  <bookViews>
    <workbookView xWindow="-108" yWindow="-108" windowWidth="23256" windowHeight="12456" xr2:uid="{52A66658-B110-4359-B71E-BF405A1A4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B9" i="1" s="1"/>
  <c r="D4" i="1"/>
  <c r="B8" i="1" s="1"/>
  <c r="B7" i="1"/>
  <c r="D21" i="1"/>
  <c r="D22" i="1"/>
  <c r="B23" i="1"/>
  <c r="C23" i="1"/>
  <c r="D23" i="1" l="1"/>
  <c r="C28" i="1" s="1"/>
  <c r="D28" i="1" s="1"/>
  <c r="B10" i="1"/>
  <c r="B11" i="1" s="1"/>
  <c r="F9" i="1" s="1"/>
  <c r="C26" i="1" l="1"/>
  <c r="D26" i="1" s="1"/>
  <c r="C27" i="1"/>
  <c r="D27" i="1" s="1"/>
  <c r="C29" i="1"/>
  <c r="D29" i="1" s="1"/>
  <c r="B31" i="1" l="1"/>
</calcChain>
</file>

<file path=xl/sharedStrings.xml><?xml version="1.0" encoding="utf-8"?>
<sst xmlns="http://schemas.openxmlformats.org/spreadsheetml/2006/main" count="46" uniqueCount="31">
  <si>
    <t>s1^2/n1=</t>
  </si>
  <si>
    <t>s2^2/n2=</t>
  </si>
  <si>
    <t>Total=</t>
  </si>
  <si>
    <t>Root value=</t>
  </si>
  <si>
    <t>Z =</t>
  </si>
  <si>
    <t>Mean Diff =</t>
  </si>
  <si>
    <t>Answer :↓</t>
  </si>
  <si>
    <t>Chi Square</t>
  </si>
  <si>
    <t/>
  </si>
  <si>
    <t>Total</t>
  </si>
  <si>
    <t>Non-Smokers</t>
  </si>
  <si>
    <t>Smokers</t>
  </si>
  <si>
    <t>No Cancer</t>
  </si>
  <si>
    <t>Cancer</t>
  </si>
  <si>
    <t>Chi-Square Test: Smoking and Cancer</t>
  </si>
  <si>
    <t>Mean</t>
  </si>
  <si>
    <t>Boys</t>
  </si>
  <si>
    <t>Girls</t>
  </si>
  <si>
    <t>Group</t>
  </si>
  <si>
    <t>O</t>
  </si>
  <si>
    <t>E</t>
  </si>
  <si>
    <t>X^2</t>
  </si>
  <si>
    <t>Que 1</t>
  </si>
  <si>
    <t>Que 2</t>
  </si>
  <si>
    <t>SD</t>
  </si>
  <si>
    <t>n</t>
  </si>
  <si>
    <t>Critical Z (5%)</t>
  </si>
  <si>
    <t>Conclusion</t>
  </si>
  <si>
    <t>Reject H0 (Significant difference)</t>
  </si>
  <si>
    <t>SD^2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</si>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</sst>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393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127416</xdr:colOff>
      <xdr:row>0</xdr:row>
      <xdr:rowOff>0</xdr:rowOff>
    </xdr:from>
    <xdr:to>
      <xdr:col>14</xdr:col>
      <xdr:colOff>240000</xdr:colOff>
      <xdr:row>29</xdr:row>
      <xdr:rowOff>18000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3C3B15-4A4C-C366-0C16-415C81124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9416" y="0"/>
          <a:ext cx="5008584" cy="5298000"/>
        </a:xfrm>
        <a:prstGeom prst="rect">
          <a:avLst/>
        </a:prstGeom>
      </xdr:spPr>
    </xdr:pic>
    <xdr:clientData/>
  </xdr:twoCellAnchor>
  <xdr:twoCellAnchor>
    <xdr:from>
      <xdr:col>6</xdr:col>
      <xdr:colOff>78000</xdr:colOff>
      <xdr:row>14</xdr:row>
      <xdr:rowOff>186000</xdr:rowOff>
    </xdr:from>
    <xdr:to>
      <xdr:col>14</xdr:col>
      <xdr:colOff>228000</xdr:colOff>
      <xdr:row>16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FBC64B3-3405-6FF4-7A58-68A3848FF025}"/>
            </a:ext>
          </a:extLst>
        </xdr:cNvPr>
        <xdr:cNvSpPr/>
      </xdr:nvSpPr>
      <xdr:spPr>
        <a:xfrm>
          <a:off x="3840000" y="2742000"/>
          <a:ext cx="5046000" cy="198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5C5B-9395-4DDE-8377-C8ED34970907}">
  <dimension ref="A1:F33"/>
  <sheetViews>
    <sheetView tabSelected="1" zoomScale="127" workbookViewId="0">
      <selection activeCell="R17" sqref="R17"/>
    </sheetView>
  </sheetViews>
  <sheetFormatPr defaultRowHeight="14.4" x14ac:dyDescent="0.3"/>
  <cols>
    <col min="1" max="1" width="14.44140625" customWidth="1"/>
    <col min="2" max="2" width="10.109375" customWidth="1"/>
    <col min="3" max="3" width="9.5546875" bestFit="1" customWidth="1"/>
    <col min="4" max="4" width="7.5546875" customWidth="1"/>
    <col min="5" max="5" width="7.109375" customWidth="1"/>
    <col min="6" max="6" width="6.109375" customWidth="1"/>
    <col min="7" max="7" width="8.88671875" customWidth="1"/>
  </cols>
  <sheetData>
    <row r="1" spans="1:6" ht="15" thickBot="1" x14ac:dyDescent="0.35">
      <c r="A1" s="15" t="s">
        <v>22</v>
      </c>
      <c r="B1" s="16"/>
      <c r="C1" s="16"/>
      <c r="D1" s="16"/>
      <c r="E1" s="16"/>
      <c r="F1" s="17"/>
    </row>
    <row r="3" spans="1:6" x14ac:dyDescent="0.3">
      <c r="A3" s="1" t="s">
        <v>18</v>
      </c>
      <c r="B3" s="1" t="s">
        <v>15</v>
      </c>
      <c r="C3" s="1" t="s">
        <v>24</v>
      </c>
      <c r="D3" s="1" t="s">
        <v>29</v>
      </c>
      <c r="E3" s="1" t="s">
        <v>25</v>
      </c>
    </row>
    <row r="4" spans="1:6" x14ac:dyDescent="0.3">
      <c r="A4" s="1" t="s">
        <v>17</v>
      </c>
      <c r="B4" s="1">
        <v>89</v>
      </c>
      <c r="C4" s="1">
        <v>4</v>
      </c>
      <c r="D4" s="1">
        <f>C4^2</f>
        <v>16</v>
      </c>
      <c r="E4" s="1">
        <v>50</v>
      </c>
    </row>
    <row r="5" spans="1:6" x14ac:dyDescent="0.3">
      <c r="A5" s="1" t="s">
        <v>16</v>
      </c>
      <c r="B5" s="1">
        <v>82</v>
      </c>
      <c r="C5" s="1">
        <v>9</v>
      </c>
      <c r="D5" s="1">
        <f>C5^2</f>
        <v>81</v>
      </c>
      <c r="E5" s="1">
        <v>120</v>
      </c>
    </row>
    <row r="6" spans="1:6" x14ac:dyDescent="0.3">
      <c r="A6" s="8"/>
      <c r="B6" s="8"/>
      <c r="C6" s="8"/>
      <c r="D6" s="8"/>
      <c r="E6" s="4"/>
    </row>
    <row r="7" spans="1:6" ht="15" thickBot="1" x14ac:dyDescent="0.35">
      <c r="A7" s="1" t="s">
        <v>5</v>
      </c>
      <c r="B7" s="1">
        <f>B4-B5</f>
        <v>7</v>
      </c>
      <c r="C7" s="4"/>
    </row>
    <row r="8" spans="1:6" ht="15" thickBot="1" x14ac:dyDescent="0.35">
      <c r="A8" s="1" t="s">
        <v>0</v>
      </c>
      <c r="B8" s="7">
        <f>D4/E4</f>
        <v>0.32</v>
      </c>
      <c r="C8" s="4"/>
      <c r="E8" s="10" t="s">
        <v>6</v>
      </c>
      <c r="F8" s="11"/>
    </row>
    <row r="9" spans="1:6" x14ac:dyDescent="0.3">
      <c r="A9" s="1" t="s">
        <v>1</v>
      </c>
      <c r="B9" s="7">
        <f>D5/E5</f>
        <v>0.67500000000000004</v>
      </c>
      <c r="C9" s="4"/>
      <c r="E9" s="1" t="s">
        <v>4</v>
      </c>
      <c r="F9" s="5">
        <f>B7/B11</f>
        <v>7.0175658996391963</v>
      </c>
    </row>
    <row r="10" spans="1:6" x14ac:dyDescent="0.3">
      <c r="A10" s="1" t="s">
        <v>2</v>
      </c>
      <c r="B10" s="7">
        <f>B8+B9</f>
        <v>0.99500000000000011</v>
      </c>
      <c r="C10" s="4"/>
    </row>
    <row r="11" spans="1:6" x14ac:dyDescent="0.3">
      <c r="A11" s="1" t="s">
        <v>3</v>
      </c>
      <c r="B11" s="7">
        <f>SQRT(B10)</f>
        <v>0.99749686716300023</v>
      </c>
      <c r="C11" s="4"/>
      <c r="D11" s="4"/>
      <c r="E11" s="4"/>
    </row>
    <row r="13" spans="1:6" x14ac:dyDescent="0.3">
      <c r="A13" s="14" t="s">
        <v>26</v>
      </c>
      <c r="B13" s="14">
        <v>1.96</v>
      </c>
    </row>
    <row r="14" spans="1:6" x14ac:dyDescent="0.3">
      <c r="A14" s="14" t="s">
        <v>27</v>
      </c>
      <c r="B14" s="13" t="s">
        <v>28</v>
      </c>
      <c r="C14" s="12"/>
      <c r="D14" s="12"/>
    </row>
    <row r="15" spans="1:6" ht="15" thickBot="1" x14ac:dyDescent="0.35"/>
    <row r="16" spans="1:6" ht="15" thickBot="1" x14ac:dyDescent="0.35">
      <c r="A16" s="15" t="s">
        <v>23</v>
      </c>
      <c r="B16" s="18"/>
      <c r="C16" s="18"/>
      <c r="D16" s="18"/>
      <c r="E16" s="18"/>
      <c r="F16" s="19"/>
    </row>
    <row r="17" spans="1:4" x14ac:dyDescent="0.3">
      <c r="A17" s="4"/>
      <c r="B17" s="4"/>
    </row>
    <row r="18" spans="1:4" x14ac:dyDescent="0.3">
      <c r="A18" s="6" t="s">
        <v>14</v>
      </c>
      <c r="B18" s="6"/>
      <c r="C18" s="6"/>
      <c r="D18" s="6"/>
    </row>
    <row r="19" spans="1:4" x14ac:dyDescent="0.3">
      <c r="A19" t="s">
        <v>8</v>
      </c>
      <c r="B19" t="s">
        <v>8</v>
      </c>
    </row>
    <row r="20" spans="1:4" x14ac:dyDescent="0.3">
      <c r="A20" s="8" t="s">
        <v>8</v>
      </c>
      <c r="B20" s="1" t="s">
        <v>13</v>
      </c>
      <c r="C20" s="1" t="s">
        <v>12</v>
      </c>
      <c r="D20" s="1" t="s">
        <v>9</v>
      </c>
    </row>
    <row r="21" spans="1:4" x14ac:dyDescent="0.3">
      <c r="A21" s="1" t="s">
        <v>11</v>
      </c>
      <c r="B21" s="1">
        <v>220</v>
      </c>
      <c r="C21" s="1">
        <v>230</v>
      </c>
      <c r="D21" s="1">
        <f>B21+C21</f>
        <v>450</v>
      </c>
    </row>
    <row r="22" spans="1:4" x14ac:dyDescent="0.3">
      <c r="A22" s="1" t="s">
        <v>10</v>
      </c>
      <c r="B22" s="1">
        <v>350</v>
      </c>
      <c r="C22" s="1">
        <v>640</v>
      </c>
      <c r="D22" s="1">
        <f>B22+C22</f>
        <v>990</v>
      </c>
    </row>
    <row r="23" spans="1:4" x14ac:dyDescent="0.3">
      <c r="A23" s="1" t="s">
        <v>9</v>
      </c>
      <c r="B23" s="1">
        <f>B21+B22</f>
        <v>570</v>
      </c>
      <c r="C23" s="1">
        <f>C21+C22</f>
        <v>870</v>
      </c>
      <c r="D23" s="1">
        <f>D21+D22</f>
        <v>1440</v>
      </c>
    </row>
    <row r="24" spans="1:4" x14ac:dyDescent="0.3">
      <c r="A24" s="8" t="s">
        <v>8</v>
      </c>
      <c r="B24" s="8" t="s">
        <v>8</v>
      </c>
      <c r="C24" s="8" t="s">
        <v>8</v>
      </c>
      <c r="D24" s="8" t="s">
        <v>8</v>
      </c>
    </row>
    <row r="25" spans="1:4" x14ac:dyDescent="0.3">
      <c r="B25" s="1" t="s">
        <v>19</v>
      </c>
      <c r="C25" s="1" t="s">
        <v>20</v>
      </c>
      <c r="D25" s="1" t="s">
        <v>21</v>
      </c>
    </row>
    <row r="26" spans="1:4" x14ac:dyDescent="0.3">
      <c r="A26" s="1" t="s">
        <v>11</v>
      </c>
      <c r="B26" s="3">
        <v>220</v>
      </c>
      <c r="C26" s="3">
        <f>(D21*B23)/D23</f>
        <v>178.125</v>
      </c>
      <c r="D26" s="9">
        <f>(B26-C26)^2/C26</f>
        <v>9.8442982456140342</v>
      </c>
    </row>
    <row r="27" spans="1:4" x14ac:dyDescent="0.3">
      <c r="A27" s="8"/>
      <c r="B27" s="1">
        <v>230</v>
      </c>
      <c r="C27" s="1">
        <f>(D21*C23)/D23</f>
        <v>271.875</v>
      </c>
      <c r="D27" s="9">
        <f t="shared" ref="D27:D28" si="0">(B27-C27)^2/C27</f>
        <v>6.4497126436781613</v>
      </c>
    </row>
    <row r="28" spans="1:4" x14ac:dyDescent="0.3">
      <c r="A28" s="1" t="s">
        <v>10</v>
      </c>
      <c r="B28" s="1">
        <v>350</v>
      </c>
      <c r="C28" s="1">
        <f>(D22*B23)/D23</f>
        <v>391.875</v>
      </c>
      <c r="D28" s="9">
        <f t="shared" si="0"/>
        <v>4.4746810207336525</v>
      </c>
    </row>
    <row r="29" spans="1:4" x14ac:dyDescent="0.3">
      <c r="A29" s="8"/>
      <c r="B29" s="1">
        <v>640</v>
      </c>
      <c r="C29" s="1">
        <f>(D22*C23)/D23</f>
        <v>598.125</v>
      </c>
      <c r="D29" s="9">
        <f>(B29-C29)^2/C29</f>
        <v>2.931687565308255</v>
      </c>
    </row>
    <row r="30" spans="1:4" x14ac:dyDescent="0.3">
      <c r="A30" s="8" t="s">
        <v>8</v>
      </c>
      <c r="B30" s="8" t="s">
        <v>8</v>
      </c>
      <c r="C30" s="8" t="s">
        <v>8</v>
      </c>
      <c r="D30" s="8" t="s">
        <v>8</v>
      </c>
    </row>
    <row r="31" spans="1:4" x14ac:dyDescent="0.3">
      <c r="A31" s="1" t="s">
        <v>7</v>
      </c>
      <c r="B31" s="7">
        <f>SUM(D26:D29)</f>
        <v>23.700379475334103</v>
      </c>
      <c r="C31" s="8"/>
      <c r="D31" s="8"/>
    </row>
    <row r="32" spans="1:4" x14ac:dyDescent="0.3">
      <c r="A32" s="1" t="s">
        <v>30</v>
      </c>
      <c r="B32" s="2">
        <v>1</v>
      </c>
    </row>
    <row r="33" spans="1:4" x14ac:dyDescent="0.3">
      <c r="A33" s="1" t="s">
        <v>27</v>
      </c>
      <c r="B33" s="6" t="s">
        <v>28</v>
      </c>
      <c r="C33" s="6"/>
      <c r="D33" s="6"/>
    </row>
  </sheetData>
  <mergeCells count="6">
    <mergeCell ref="B33:D33"/>
    <mergeCell ref="A18:D18"/>
    <mergeCell ref="A1:F1"/>
    <mergeCell ref="A16:F16"/>
    <mergeCell ref="E8:F8"/>
    <mergeCell ref="B14:D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patel</dc:creator>
  <cp:lastModifiedBy>palak patel</cp:lastModifiedBy>
  <dcterms:created xsi:type="dcterms:W3CDTF">2026-03-24T04:52:55Z</dcterms:created>
  <dcterms:modified xsi:type="dcterms:W3CDTF">2026-04-03T17:19:31Z</dcterms:modified>
</cp:coreProperties>
</file>